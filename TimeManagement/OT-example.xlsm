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nserrano\Documents\OneDrive - Tecnun\0.Nicolas\Excel\TimeManagement\"/>
    </mc:Choice>
  </mc:AlternateContent>
  <bookViews>
    <workbookView xWindow="-15" yWindow="120" windowWidth="19440" windowHeight="10155" tabRatio="860"/>
  </bookViews>
  <sheets>
    <sheet name="Tasks" sheetId="76" r:id="rId1"/>
    <sheet name="Accumulated" sheetId="70" r:id="rId2"/>
    <sheet name="Filters" sheetId="79" r:id="rId3"/>
    <sheet name="Conf" sheetId="87" r:id="rId4"/>
  </sheets>
  <functionGroups builtInGroupCount="18"/>
  <definedNames>
    <definedName name="_xlnm._FilterDatabase" localSheetId="0" hidden="1">Tasks!$A$3:$J$30</definedName>
    <definedName name="ActivityList">#REF!</definedName>
    <definedName name="_xlnm.Criteria" localSheetId="0">Filters!$A$1:$C$3</definedName>
    <definedName name="projectNames">#REF!</definedName>
  </definedNames>
  <calcPr calcId="162913"/>
  <pivotCaches>
    <pivotCache cacheId="7" r:id="rId5"/>
  </pivotCaches>
</workbook>
</file>

<file path=xl/calcChain.xml><?xml version="1.0" encoding="utf-8"?>
<calcChain xmlns="http://schemas.openxmlformats.org/spreadsheetml/2006/main">
  <c r="H5" i="76" l="1"/>
  <c r="H4" i="76"/>
  <c r="C2" i="79"/>
  <c r="E1" i="76"/>
  <c r="B1" i="76" s="1"/>
  <c r="A1" i="76"/>
  <c r="A3" i="79" l="1"/>
  <c r="F1" i="76" a="1"/>
  <c r="F1" i="76" s="1"/>
</calcChain>
</file>

<file path=xl/comments1.xml><?xml version="1.0" encoding="utf-8"?>
<comments xmlns="http://schemas.openxmlformats.org/spreadsheetml/2006/main">
  <authors>
    <author>nserrano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nserrano:</t>
        </r>
        <r>
          <rPr>
            <sz val="8"/>
            <color indexed="81"/>
            <rFont val="Tahoma"/>
            <family val="2"/>
          </rPr>
          <t xml:space="preserve">
Current week number
http://www.rondebruin.nl/weeknumber.htm
</t>
        </r>
      </text>
    </comment>
  </commentList>
</comments>
</file>

<file path=xl/sharedStrings.xml><?xml version="1.0" encoding="utf-8"?>
<sst xmlns="http://schemas.openxmlformats.org/spreadsheetml/2006/main" count="116" uniqueCount="67">
  <si>
    <t>Proy</t>
  </si>
  <si>
    <t>Language</t>
  </si>
  <si>
    <t>Castellano</t>
  </si>
  <si>
    <t>Day</t>
  </si>
  <si>
    <t>Semana</t>
  </si>
  <si>
    <t>Order</t>
  </si>
  <si>
    <t>Project</t>
  </si>
  <si>
    <t>Task</t>
  </si>
  <si>
    <t>Tarea</t>
  </si>
  <si>
    <t>Estimated</t>
  </si>
  <si>
    <t>Completed</t>
  </si>
  <si>
    <t>Tiempo</t>
  </si>
  <si>
    <t>Start</t>
  </si>
  <si>
    <t>Grand Total</t>
  </si>
  <si>
    <t>Inicio</t>
  </si>
  <si>
    <t>Fín</t>
  </si>
  <si>
    <t>Time</t>
  </si>
  <si>
    <t>Previsto</t>
  </si>
  <si>
    <t>Ctrl+J</t>
  </si>
  <si>
    <t>Ctrl+Q</t>
  </si>
  <si>
    <t>Completado</t>
  </si>
  <si>
    <t>Día</t>
  </si>
  <si>
    <t>Orden</t>
  </si>
  <si>
    <t>Week</t>
  </si>
  <si>
    <t>(blank)</t>
  </si>
  <si>
    <t>English</t>
  </si>
  <si>
    <t>End</t>
  </si>
  <si>
    <t>Sum of Time</t>
  </si>
  <si>
    <t>Revisar proyecto A</t>
  </si>
  <si>
    <t>Localizar a Pedro López</t>
  </si>
  <si>
    <t>Ver Webs de curso de verano de hijo</t>
  </si>
  <si>
    <t>Retomar curso de alemán</t>
  </si>
  <si>
    <t>Buscar libro que me comentó Alberto</t>
  </si>
  <si>
    <t>Llamada por teléfono a tutor del hijo</t>
  </si>
  <si>
    <t>Planear el fín de semana</t>
  </si>
  <si>
    <t>Fijar media hora diaria para pensar</t>
  </si>
  <si>
    <t>Escribir a email pensado a Rodrigo</t>
  </si>
  <si>
    <t>Reservar pista de padel</t>
  </si>
  <si>
    <t>Mirar otras condiciones de la hipoteca</t>
  </si>
  <si>
    <t>Dar feedback a Pablo de su presentación</t>
  </si>
  <si>
    <t>proyA</t>
  </si>
  <si>
    <t>Comentar nueva idea proyecto</t>
  </si>
  <si>
    <t>departa</t>
  </si>
  <si>
    <t>areaB</t>
  </si>
  <si>
    <t>redsoc</t>
  </si>
  <si>
    <t>famil</t>
  </si>
  <si>
    <t>Llevar al hijo al partido</t>
  </si>
  <si>
    <t>desarro</t>
  </si>
  <si>
    <t>mejorarB</t>
  </si>
  <si>
    <t>marathon</t>
  </si>
  <si>
    <t>cursoFin</t>
  </si>
  <si>
    <t>refcasa</t>
  </si>
  <si>
    <t>Reunion area</t>
  </si>
  <si>
    <t>Trabajo con Pedro</t>
  </si>
  <si>
    <t>Llamada cliente A20</t>
  </si>
  <si>
    <t>Sesión Time Management Tecnun</t>
  </si>
  <si>
    <t>Weekly review</t>
  </si>
  <si>
    <t>Brainstorming a Pablo y Roberto</t>
  </si>
  <si>
    <t>Hablar con Juanjo, corredor de maratón</t>
  </si>
  <si>
    <t>Mirar planes de preparación</t>
  </si>
  <si>
    <t>Calendario de pruebas</t>
  </si>
  <si>
    <t>Comentarlo con Adolfo</t>
  </si>
  <si>
    <t>Escribir con Amalia lista de necesidades</t>
  </si>
  <si>
    <t>Anunciar Brainstorming a Pablo y Roberto</t>
  </si>
  <si>
    <t>Hablar con Adolfo: pedir hora para viernes</t>
  </si>
  <si>
    <t>Llamar cliente C</t>
  </si>
  <si>
    <t>Arreglar grifo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</si>
</sst>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h:mm;@"/>
    <numFmt numFmtId="169" formatCode="hh:mm:ss"/>
    <numFmt numFmtId="170" formatCode="[h]:mm:ss;@"/>
    <numFmt numFmtId="172" formatCode="_(* #,##0_);_(* \(#,##0\);_(* &quot;-&quot;??_);_(@_)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0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165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44">
    <xf numFmtId="0" fontId="0" fillId="0" borderId="0" xfId="0"/>
    <xf numFmtId="0" fontId="3" fillId="0" borderId="0" xfId="0" applyFont="1"/>
    <xf numFmtId="14" fontId="0" fillId="0" borderId="0" xfId="0" applyNumberFormat="1" applyAlignment="1"/>
    <xf numFmtId="0" fontId="0" fillId="2" borderId="0" xfId="0" applyFill="1"/>
    <xf numFmtId="0" fontId="6" fillId="0" borderId="0" xfId="0" applyFont="1"/>
    <xf numFmtId="168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20" fontId="0" fillId="0" borderId="0" xfId="0" applyNumberFormat="1"/>
    <xf numFmtId="169" fontId="0" fillId="0" borderId="0" xfId="0" applyNumberFormat="1"/>
    <xf numFmtId="0" fontId="8" fillId="0" borderId="0" xfId="0" applyFont="1"/>
    <xf numFmtId="168" fontId="0" fillId="0" borderId="0" xfId="0" applyNumberFormat="1" applyAlignment="1">
      <alignment horizontal="center"/>
    </xf>
    <xf numFmtId="168" fontId="0" fillId="0" borderId="0" xfId="0" applyNumberFormat="1" applyAlignme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2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8" fontId="0" fillId="0" borderId="7" xfId="0" applyNumberFormat="1" applyBorder="1"/>
    <xf numFmtId="0" fontId="0" fillId="0" borderId="8" xfId="0" applyNumberFormat="1" applyBorder="1" applyAlignment="1"/>
    <xf numFmtId="170" fontId="0" fillId="0" borderId="0" xfId="0" applyNumberFormat="1"/>
    <xf numFmtId="170" fontId="0" fillId="0" borderId="1" xfId="0" applyNumberFormat="1" applyBorder="1"/>
    <xf numFmtId="170" fontId="0" fillId="0" borderId="4" xfId="0" applyNumberFormat="1" applyBorder="1"/>
    <xf numFmtId="170" fontId="0" fillId="0" borderId="6" xfId="0" applyNumberFormat="1" applyBorder="1"/>
    <xf numFmtId="170" fontId="0" fillId="0" borderId="9" xfId="0" applyNumberFormat="1" applyBorder="1"/>
    <xf numFmtId="0" fontId="6" fillId="0" borderId="0" xfId="0" applyFont="1" applyAlignment="1"/>
    <xf numFmtId="0" fontId="0" fillId="0" borderId="10" xfId="0" applyBorder="1"/>
    <xf numFmtId="170" fontId="0" fillId="0" borderId="10" xfId="0" applyNumberFormat="1" applyBorder="1"/>
    <xf numFmtId="170" fontId="0" fillId="0" borderId="11" xfId="0" applyNumberFormat="1" applyBorder="1"/>
    <xf numFmtId="0" fontId="0" fillId="0" borderId="12" xfId="0" applyBorder="1"/>
    <xf numFmtId="170" fontId="0" fillId="0" borderId="12" xfId="0" applyNumberFormat="1" applyBorder="1"/>
    <xf numFmtId="170" fontId="0" fillId="0" borderId="13" xfId="0" applyNumberFormat="1" applyBorder="1"/>
    <xf numFmtId="168" fontId="3" fillId="0" borderId="0" xfId="0" applyNumberFormat="1" applyFont="1" applyAlignment="1"/>
    <xf numFmtId="168" fontId="3" fillId="0" borderId="0" xfId="0" applyNumberFormat="1" applyFont="1" applyFill="1" applyBorder="1" applyAlignment="1"/>
    <xf numFmtId="168" fontId="3" fillId="0" borderId="0" xfId="0" applyNumberFormat="1" applyFont="1"/>
    <xf numFmtId="168" fontId="3" fillId="0" borderId="0" xfId="0" applyNumberFormat="1" applyFont="1" applyFill="1" applyBorder="1" applyAlignment="1">
      <alignment shrinkToFit="1"/>
    </xf>
    <xf numFmtId="168" fontId="0" fillId="0" borderId="1" xfId="0" pivotButton="1" applyNumberFormat="1" applyBorder="1"/>
    <xf numFmtId="0" fontId="0" fillId="0" borderId="0" xfId="0" applyFont="1" applyFill="1"/>
    <xf numFmtId="0" fontId="0" fillId="0" borderId="7" xfId="0" applyBorder="1"/>
    <xf numFmtId="0" fontId="0" fillId="3" borderId="0" xfId="0" applyFill="1"/>
    <xf numFmtId="172" fontId="0" fillId="0" borderId="0" xfId="1" applyNumberFormat="1" applyFont="1"/>
  </cellXfs>
  <cellStyles count="6">
    <cellStyle name="Comma" xfId="1" builtinId="3"/>
    <cellStyle name="Millares [0]_Empleados" xfId="2"/>
    <cellStyle name="Millares_Empleados" xfId="3"/>
    <cellStyle name="Moneda [0]_Empleados" xfId="4"/>
    <cellStyle name="Moneda_Empleados" xfId="5"/>
    <cellStyle name="Normal" xfId="0" builtinId="0"/>
  </cellStyles>
  <dxfs count="12"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numFmt numFmtId="170" formatCode="[h]:mm:ss;@"/>
    </dxf>
    <dxf>
      <numFmt numFmtId="168" formatCode="h:mm;@"/>
    </dxf>
    <dxf>
      <numFmt numFmtId="168" formatCode="h:mm;@"/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2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19050</xdr:rowOff>
        </xdr:from>
        <xdr:to>
          <xdr:col>4</xdr:col>
          <xdr:colOff>1257300</xdr:colOff>
          <xdr:row>1</xdr:row>
          <xdr:rowOff>85725</xdr:rowOff>
        </xdr:to>
        <xdr:sp macro="" textlink="">
          <xdr:nvSpPr>
            <xdr:cNvPr id="24295" name="W" hidden="1">
              <a:extLst>
                <a:ext uri="{63B3BB69-23CF-44E3-9099-C40C66FF867C}">
                  <a14:compatExt spid="_x0000_s2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0</xdr:row>
          <xdr:rowOff>19050</xdr:rowOff>
        </xdr:from>
        <xdr:to>
          <xdr:col>4</xdr:col>
          <xdr:colOff>1562100</xdr:colOff>
          <xdr:row>1</xdr:row>
          <xdr:rowOff>85725</xdr:rowOff>
        </xdr:to>
        <xdr:sp macro="" textlink="">
          <xdr:nvSpPr>
            <xdr:cNvPr id="24340" name="AF" hidden="1">
              <a:extLst>
                <a:ext uri="{63B3BB69-23CF-44E3-9099-C40C66FF867C}">
                  <a14:compatExt spid="_x0000_s2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1</xdr:row>
          <xdr:rowOff>85725</xdr:rowOff>
        </xdr:from>
        <xdr:to>
          <xdr:col>4</xdr:col>
          <xdr:colOff>1257300</xdr:colOff>
          <xdr:row>2</xdr:row>
          <xdr:rowOff>142875</xdr:rowOff>
        </xdr:to>
        <xdr:sp macro="" textlink="">
          <xdr:nvSpPr>
            <xdr:cNvPr id="27680" name="IT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1295400</xdr:colOff>
          <xdr:row>1</xdr:row>
          <xdr:rowOff>85725</xdr:rowOff>
        </xdr:from>
        <xdr:to>
          <xdr:col>4</xdr:col>
          <xdr:colOff>1562100</xdr:colOff>
          <xdr:row>2</xdr:row>
          <xdr:rowOff>142875</xdr:rowOff>
        </xdr:to>
        <xdr:sp macro="" textlink="">
          <xdr:nvSpPr>
            <xdr:cNvPr id="27682" name="Import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1581150</xdr:colOff>
          <xdr:row>0</xdr:row>
          <xdr:rowOff>19050</xdr:rowOff>
        </xdr:from>
        <xdr:to>
          <xdr:col>4</xdr:col>
          <xdr:colOff>1905000</xdr:colOff>
          <xdr:row>1</xdr:row>
          <xdr:rowOff>85725</xdr:rowOff>
        </xdr:to>
        <xdr:sp macro="" textlink="">
          <xdr:nvSpPr>
            <xdr:cNvPr id="29357" name="SortButton" hidden="1">
              <a:extLst>
                <a:ext uri="{63B3BB69-23CF-44E3-9099-C40C66FF867C}">
                  <a14:compatExt spid="_x0000_s29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local" refreshedDate="40840.562287615743" createdVersion="1" refreshedVersion="3" recordCount="30" upgradeOnRefresh="1">
  <cacheSource type="worksheet">
    <worksheetSource ref="A3:J438" sheet="Tasks"/>
  </cacheSource>
  <cacheFields count="10">
    <cacheField name="Week" numFmtId="0">
      <sharedItems containsString="0" containsBlank="1" containsNumber="1" containsInteger="1" minValue="43" maxValue="50" count="7">
        <n v="43"/>
        <n v="44"/>
        <n v="45"/>
        <m/>
        <n v="48" u="1"/>
        <n v="50" u="1"/>
        <n v="49" u="1"/>
      </sharedItems>
    </cacheField>
    <cacheField name="Day" numFmtId="0">
      <sharedItems containsString="0" containsBlank="1" containsNumber="1" containsInteger="1" minValue="1" maxValue="6" count="7">
        <n v="3"/>
        <n v="4"/>
        <n v="5"/>
        <n v="6"/>
        <n v="2"/>
        <m/>
        <n v="1" u="1"/>
      </sharedItems>
    </cacheField>
    <cacheField name="Order" numFmtId="0">
      <sharedItems containsDate="1" containsString="0" containsBlank="1" containsMixedTypes="1" minDate="1899-12-30T10:30:00" maxDate="1899-12-31T01:03:04"/>
    </cacheField>
    <cacheField name="Project" numFmtId="0">
      <sharedItems containsBlank="1" count="15">
        <s v="departa"/>
        <s v="desarro"/>
        <s v="areaB"/>
        <s v="proyA"/>
        <s v="mejorarB"/>
        <s v="famil"/>
        <s v="refcasa"/>
        <s v="redsoc"/>
        <s v="marathon"/>
        <s v="cursoFin"/>
        <m/>
        <s v="resZ" u="1"/>
        <s v="desp" u="1"/>
        <s v="mark" u="1"/>
        <s v="cour" u="1"/>
      </sharedItems>
    </cacheField>
    <cacheField name="Task" numFmtId="0">
      <sharedItems containsBlank="1"/>
    </cacheField>
    <cacheField name="Estimated" numFmtId="0">
      <sharedItems containsNonDate="0" containsDate="1" containsString="0" containsBlank="1" minDate="1899-12-30T00:20:00" maxDate="1899-12-30T01:30:00"/>
    </cacheField>
    <cacheField name="Completed" numFmtId="0">
      <sharedItems containsString="0" containsBlank="1" containsNumber="1" containsInteger="1" minValue="1" maxValue="3"/>
    </cacheField>
    <cacheField name="Time" numFmtId="0">
      <sharedItems containsNonDate="0" containsDate="1" containsString="0" containsBlank="1" minDate="1899-12-30T00:02:05" maxDate="1899-12-30T02:00:00"/>
    </cacheField>
    <cacheField name="Start" numFmtId="0">
      <sharedItems containsNonDate="0" containsDate="1" containsString="0" containsBlank="1" minDate="2011-10-24T13:10:34" maxDate="2011-10-24T13:26:01"/>
    </cacheField>
    <cacheField name="End" numFmtId="0">
      <sharedItems containsNonDate="0" containsDate="1" containsString="0" containsBlank="1" minDate="2011-10-24T13:12:51" maxDate="2011-10-24T13:15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d v="1899-12-30T10:30:00"/>
    <x v="0"/>
    <s v="Sesión Time Management Tecnun"/>
    <d v="1899-12-30T01:00:00"/>
    <n v="1"/>
    <d v="1899-12-30T00:02:17"/>
    <d v="2011-10-24T13:10:34"/>
    <d v="2011-10-24T13:12:51"/>
  </r>
  <r>
    <x v="0"/>
    <x v="0"/>
    <d v="1899-12-30T11:30:00"/>
    <x v="1"/>
    <s v="Weekly review"/>
    <d v="1899-12-30T00:30:00"/>
    <n v="1"/>
    <d v="1899-12-30T00:02:05"/>
    <d v="2011-10-24T13:12:59"/>
    <d v="2011-10-24T13:15:04"/>
  </r>
  <r>
    <x v="0"/>
    <x v="0"/>
    <d v="1899-12-30T12:30:00"/>
    <x v="2"/>
    <s v="Reunion area"/>
    <d v="1899-12-30T01:00:00"/>
    <n v="3"/>
    <d v="1899-12-30T00:45:00"/>
    <m/>
    <m/>
  </r>
  <r>
    <x v="0"/>
    <x v="0"/>
    <d v="1899-12-30T15:00:00"/>
    <x v="3"/>
    <s v="Trabajo con Pedro"/>
    <d v="1899-12-30T01:30:00"/>
    <n v="3"/>
    <d v="1899-12-30T02:00:00"/>
    <m/>
    <m/>
  </r>
  <r>
    <x v="0"/>
    <x v="0"/>
    <d v="1899-12-30T16:30:00"/>
    <x v="2"/>
    <s v="Llamada cliente A20"/>
    <d v="1899-12-30T00:20:00"/>
    <m/>
    <m/>
    <m/>
    <m/>
  </r>
  <r>
    <x v="0"/>
    <x v="0"/>
    <n v="10"/>
    <x v="4"/>
    <s v="Anunciar Brainstorming a Pablo y Roberto"/>
    <m/>
    <m/>
    <m/>
    <d v="2011-10-24T13:26:01"/>
    <m/>
  </r>
  <r>
    <x v="0"/>
    <x v="0"/>
    <n v="20"/>
    <x v="2"/>
    <s v="Fijar media hora diaria para pensar"/>
    <m/>
    <m/>
    <m/>
    <m/>
    <m/>
  </r>
  <r>
    <x v="0"/>
    <x v="0"/>
    <n v="30"/>
    <x v="2"/>
    <s v="Hablar con Adolfo: pedir hora para viernes"/>
    <m/>
    <m/>
    <m/>
    <m/>
    <m/>
  </r>
  <r>
    <x v="0"/>
    <x v="1"/>
    <m/>
    <x v="1"/>
    <s v="Reservar pista de padel"/>
    <m/>
    <m/>
    <m/>
    <m/>
    <m/>
  </r>
  <r>
    <x v="0"/>
    <x v="1"/>
    <m/>
    <x v="5"/>
    <s v="Planear el fín de semana"/>
    <m/>
    <m/>
    <m/>
    <m/>
    <m/>
  </r>
  <r>
    <x v="0"/>
    <x v="1"/>
    <m/>
    <x v="3"/>
    <s v="Revisar proyecto A"/>
    <m/>
    <m/>
    <m/>
    <m/>
    <m/>
  </r>
  <r>
    <x v="0"/>
    <x v="1"/>
    <m/>
    <x v="6"/>
    <s v="Escribir con Amalia lista de necesidades"/>
    <m/>
    <m/>
    <m/>
    <m/>
    <m/>
  </r>
  <r>
    <x v="0"/>
    <x v="2"/>
    <m/>
    <x v="7"/>
    <s v="Localizar a Pedro López"/>
    <m/>
    <m/>
    <m/>
    <m/>
    <m/>
  </r>
  <r>
    <x v="0"/>
    <x v="2"/>
    <m/>
    <x v="8"/>
    <s v="Hablar con Juanjo, corredor de maratón"/>
    <m/>
    <m/>
    <m/>
    <m/>
    <m/>
  </r>
  <r>
    <x v="0"/>
    <x v="2"/>
    <m/>
    <x v="9"/>
    <s v="Comentarlo con Adolfo"/>
    <m/>
    <m/>
    <m/>
    <m/>
    <m/>
  </r>
  <r>
    <x v="0"/>
    <x v="3"/>
    <m/>
    <x v="1"/>
    <s v="Buscar libro que me comentó Alberto"/>
    <m/>
    <m/>
    <m/>
    <m/>
    <m/>
  </r>
  <r>
    <x v="0"/>
    <x v="3"/>
    <m/>
    <x v="5"/>
    <s v="Llevar al hijo al partido"/>
    <m/>
    <m/>
    <m/>
    <m/>
    <m/>
  </r>
  <r>
    <x v="0"/>
    <x v="3"/>
    <m/>
    <x v="8"/>
    <s v="Mirar planes de preparación"/>
    <m/>
    <m/>
    <m/>
    <m/>
    <m/>
  </r>
  <r>
    <x v="1"/>
    <x v="4"/>
    <m/>
    <x v="4"/>
    <s v="Brainstorming a Pablo y Roberto"/>
    <m/>
    <m/>
    <m/>
    <m/>
    <m/>
  </r>
  <r>
    <x v="1"/>
    <x v="5"/>
    <m/>
    <x v="2"/>
    <s v="Dar feedback a Pablo de su presentación"/>
    <m/>
    <m/>
    <m/>
    <m/>
    <m/>
  </r>
  <r>
    <x v="1"/>
    <x v="5"/>
    <m/>
    <x v="0"/>
    <s v="Comentar nueva idea proyecto"/>
    <m/>
    <m/>
    <m/>
    <m/>
    <m/>
  </r>
  <r>
    <x v="1"/>
    <x v="5"/>
    <m/>
    <x v="0"/>
    <s v="Escribir a email pensado a Rodrigo"/>
    <m/>
    <m/>
    <m/>
    <m/>
    <m/>
  </r>
  <r>
    <x v="1"/>
    <x v="5"/>
    <m/>
    <x v="5"/>
    <s v="Ver Webs de curso de verano de hijo"/>
    <m/>
    <m/>
    <m/>
    <m/>
    <m/>
  </r>
  <r>
    <x v="1"/>
    <x v="5"/>
    <m/>
    <x v="5"/>
    <s v="Llamada por teléfono a tutor del hijo"/>
    <m/>
    <m/>
    <m/>
    <m/>
    <m/>
  </r>
  <r>
    <x v="2"/>
    <x v="5"/>
    <m/>
    <x v="1"/>
    <s v="Retomar curso de alemán"/>
    <m/>
    <m/>
    <m/>
    <m/>
    <m/>
  </r>
  <r>
    <x v="2"/>
    <x v="5"/>
    <m/>
    <x v="5"/>
    <s v="Mirar otras condiciones de la hipoteca"/>
    <m/>
    <m/>
    <m/>
    <m/>
    <m/>
  </r>
  <r>
    <x v="3"/>
    <x v="5"/>
    <m/>
    <x v="8"/>
    <s v="Calendario de pruebas"/>
    <m/>
    <m/>
    <m/>
    <m/>
    <m/>
  </r>
  <r>
    <x v="3"/>
    <x v="5"/>
    <m/>
    <x v="0"/>
    <s v="Llamar cliente C"/>
    <m/>
    <m/>
    <m/>
    <m/>
    <m/>
  </r>
  <r>
    <x v="3"/>
    <x v="5"/>
    <m/>
    <x v="10"/>
    <s v="Arreglar grifo"/>
    <m/>
    <m/>
    <m/>
    <m/>
    <m/>
  </r>
  <r>
    <x v="3"/>
    <x v="5"/>
    <m/>
    <x v="1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dataOnRows="1" applyNumberFormats="0" applyBorderFormats="0" applyFontFormats="0" applyPatternFormats="0" applyAlignmentFormats="0" applyWidthHeightFormats="1" dataCaption="Data" updatedVersion="3" asteriskTotals="1" showItems="0" showMemberPropertyTips="0" useAutoFormatting="1" itemPrintTitles="1" createdVersion="1" indent="0" compact="0" compactData="0" gridDropZones="1">
  <location ref="A3:G17" firstHeaderRow="1" firstDataRow="3" firstDataCol="1"/>
  <pivotFields count="10">
    <pivotField axis="axisCol" compact="0" outline="0" subtotalTop="0" showAll="0" includeNewItemsInFilter="1" sortType="ascending" defaultSubtotal="0">
      <items count="7">
        <item sd="0" x="0"/>
        <item x="1"/>
        <item x="2"/>
        <item m="1" x="4"/>
        <item m="1" x="6"/>
        <item m="1" x="5"/>
        <item x="3"/>
      </items>
    </pivotField>
    <pivotField axis="axisCol" compact="0" outline="0" subtotalTop="0" showAll="0" includeNewItemsInFilter="1" defaultSubtotal="0">
      <items count="7">
        <item m="1" x="6"/>
        <item x="4"/>
        <item x="5"/>
        <item x="0"/>
        <item x="1"/>
        <item x="2"/>
        <item x="3"/>
      </items>
    </pivotField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15">
        <item x="2"/>
        <item m="1" x="14"/>
        <item x="9"/>
        <item x="0"/>
        <item x="1"/>
        <item m="1" x="12"/>
        <item x="5"/>
        <item x="8"/>
        <item sd="0" m="1" x="13"/>
        <item x="4"/>
        <item x="3"/>
        <item x="7"/>
        <item x="6"/>
        <item m="1" x="11"/>
        <item sd="0" x="1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3"/>
  </rowFields>
  <rowItems count="12">
    <i>
      <x/>
    </i>
    <i>
      <x v="2"/>
    </i>
    <i>
      <x v="3"/>
    </i>
    <i>
      <x v="4"/>
    </i>
    <i>
      <x v="6"/>
    </i>
    <i>
      <x v="7"/>
    </i>
    <i>
      <x v="9"/>
    </i>
    <i>
      <x v="10"/>
    </i>
    <i>
      <x v="11"/>
    </i>
    <i>
      <x v="12"/>
    </i>
    <i>
      <x v="14"/>
    </i>
    <i t="grand">
      <x/>
    </i>
  </rowItems>
  <colFields count="2">
    <field x="0"/>
    <field x="1"/>
  </colFields>
  <colItems count="6">
    <i>
      <x/>
    </i>
    <i>
      <x v="1"/>
      <x v="1"/>
    </i>
    <i r="1">
      <x v="2"/>
    </i>
    <i>
      <x v="2"/>
      <x v="2"/>
    </i>
    <i>
      <x v="6"/>
      <x v="2"/>
    </i>
    <i t="grand">
      <x/>
    </i>
  </colItems>
  <dataFields count="1">
    <dataField name="Sum of Time" fld="7" baseField="0" baseItem="0" numFmtId="168"/>
  </dataFields>
  <formats count="3">
    <format dxfId="5">
      <pivotArea type="origin" dataOnly="0" labelOnly="1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 filterMode="1"/>
  <dimension ref="A1:Z32"/>
  <sheetViews>
    <sheetView tabSelected="1" zoomScale="150" zoomScaleNormal="150" workbookViewId="0">
      <pane ySplit="3" topLeftCell="A4" activePane="bottomLeft" state="frozenSplit"/>
      <selection activeCell="A2" sqref="A2:A16"/>
      <selection pane="bottomLeft" activeCell="E12" sqref="E12"/>
    </sheetView>
  </sheetViews>
  <sheetFormatPr defaultRowHeight="12.75" x14ac:dyDescent="0.2"/>
  <cols>
    <col min="1" max="1" width="6.140625" bestFit="1" customWidth="1"/>
    <col min="2" max="2" width="4.42578125" bestFit="1" customWidth="1"/>
    <col min="3" max="3" width="7" bestFit="1" customWidth="1"/>
    <col min="4" max="4" width="7.42578125" customWidth="1"/>
    <col min="5" max="5" width="39" customWidth="1"/>
    <col min="6" max="6" width="9.85546875" style="5" bestFit="1" customWidth="1"/>
    <col min="7" max="7" width="5.5703125" customWidth="1"/>
    <col min="8" max="8" width="8.5703125" style="5" bestFit="1" customWidth="1"/>
    <col min="9" max="9" width="9.28515625" style="5" customWidth="1"/>
    <col min="10" max="10" width="9.28515625" style="5" bestFit="1" customWidth="1"/>
    <col min="11" max="11" width="10.28515625" style="5" bestFit="1" customWidth="1"/>
    <col min="12" max="13" width="9.28515625" style="5" bestFit="1" customWidth="1"/>
    <col min="14" max="14" width="9.85546875" style="5" bestFit="1" customWidth="1"/>
    <col min="15" max="17" width="9.28515625" style="5" bestFit="1" customWidth="1"/>
    <col min="18" max="26" width="9.140625" style="5"/>
  </cols>
  <sheetData>
    <row r="1" spans="1:26" ht="12.75" customHeight="1" x14ac:dyDescent="0.2">
      <c r="A1" s="22">
        <f ca="1">WeekNumber($E$1)</f>
        <v>47</v>
      </c>
      <c r="B1">
        <f ca="1">WEEKDAY($E$1,2)</f>
        <v>1</v>
      </c>
      <c r="C1" s="8"/>
      <c r="D1" s="8"/>
      <c r="E1" s="2">
        <f ca="1">TODAY()</f>
        <v>43787</v>
      </c>
      <c r="F1" s="5">
        <f t="array" aca="1" ref="F1" ca="1">SUM(IF($A$4:$A$395=$A$1,IF($B$4:$B$395=$B$1,$F$4:$F$395,0)))</f>
        <v>0</v>
      </c>
      <c r="I1" s="5" t="s">
        <v>19</v>
      </c>
      <c r="J1" s="12" t="s">
        <v>18</v>
      </c>
    </row>
    <row r="2" spans="1:26" ht="12.75" customHeight="1" x14ac:dyDescent="0.2">
      <c r="E2" s="2"/>
      <c r="F2" s="12"/>
      <c r="H2" s="12"/>
    </row>
    <row r="3" spans="1:26" s="1" customFormat="1" x14ac:dyDescent="0.2">
      <c r="A3" s="1" t="s">
        <v>23</v>
      </c>
      <c r="B3" s="1" t="s">
        <v>3</v>
      </c>
      <c r="C3" s="1" t="s">
        <v>5</v>
      </c>
      <c r="D3" s="1" t="s">
        <v>6</v>
      </c>
      <c r="E3" s="1" t="s">
        <v>7</v>
      </c>
      <c r="F3" s="37" t="s">
        <v>9</v>
      </c>
      <c r="G3" s="37" t="s">
        <v>10</v>
      </c>
      <c r="H3" s="37" t="s">
        <v>16</v>
      </c>
      <c r="I3" s="1" t="s">
        <v>12</v>
      </c>
      <c r="J3" s="1" t="s">
        <v>26</v>
      </c>
      <c r="K3" s="36"/>
      <c r="L3" s="37"/>
      <c r="M3" s="36"/>
      <c r="N3" s="35"/>
      <c r="O3" s="38"/>
      <c r="P3" s="35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hidden="1" x14ac:dyDescent="0.2">
      <c r="A4">
        <v>43</v>
      </c>
      <c r="B4">
        <v>3</v>
      </c>
      <c r="C4" s="8">
        <v>0.4375</v>
      </c>
      <c r="D4" t="s">
        <v>42</v>
      </c>
      <c r="E4" t="s">
        <v>55</v>
      </c>
      <c r="F4" s="5">
        <v>4.1666666666666664E-2</v>
      </c>
      <c r="G4">
        <v>1</v>
      </c>
      <c r="H4" s="5">
        <f>J4-I4</f>
        <v>1.5848379625822417E-3</v>
      </c>
      <c r="I4" s="9">
        <v>40840.548999768522</v>
      </c>
      <c r="J4" s="9">
        <v>40840.550584606484</v>
      </c>
    </row>
    <row r="5" spans="1:26" hidden="1" x14ac:dyDescent="0.2">
      <c r="A5">
        <v>43</v>
      </c>
      <c r="B5">
        <v>3</v>
      </c>
      <c r="C5" s="8">
        <v>0.47916666666666669</v>
      </c>
      <c r="D5" s="7" t="s">
        <v>47</v>
      </c>
      <c r="E5" s="7" t="s">
        <v>56</v>
      </c>
      <c r="F5" s="5">
        <v>2.0833333333333332E-2</v>
      </c>
      <c r="G5">
        <v>1</v>
      </c>
      <c r="H5" s="5">
        <f>J5-I5</f>
        <v>1.4444444459513761E-3</v>
      </c>
      <c r="I5" s="9">
        <v>40840.550685185182</v>
      </c>
      <c r="J5" s="9">
        <v>40840.552129629628</v>
      </c>
    </row>
    <row r="6" spans="1:26" hidden="1" x14ac:dyDescent="0.2">
      <c r="A6">
        <v>43</v>
      </c>
      <c r="B6">
        <v>3</v>
      </c>
      <c r="C6" s="8">
        <v>0.52083333333333337</v>
      </c>
      <c r="D6" t="s">
        <v>43</v>
      </c>
      <c r="E6" t="s">
        <v>52</v>
      </c>
      <c r="F6" s="5">
        <v>4.1666666666666664E-2</v>
      </c>
      <c r="G6">
        <v>3</v>
      </c>
      <c r="H6" s="5">
        <v>3.125E-2</v>
      </c>
    </row>
    <row r="7" spans="1:26" x14ac:dyDescent="0.2">
      <c r="A7">
        <v>43</v>
      </c>
      <c r="B7">
        <v>3</v>
      </c>
      <c r="C7" s="8">
        <v>0.625</v>
      </c>
      <c r="D7" t="s">
        <v>40</v>
      </c>
      <c r="E7" t="s">
        <v>53</v>
      </c>
      <c r="F7" s="5">
        <v>6.25E-2</v>
      </c>
      <c r="G7">
        <v>3</v>
      </c>
      <c r="H7" s="5">
        <v>8.3333333333333329E-2</v>
      </c>
    </row>
    <row r="8" spans="1:26" x14ac:dyDescent="0.2">
      <c r="A8">
        <v>43</v>
      </c>
      <c r="B8">
        <v>3</v>
      </c>
      <c r="C8" s="8">
        <v>0.6875</v>
      </c>
      <c r="D8" t="s">
        <v>43</v>
      </c>
      <c r="E8" t="s">
        <v>54</v>
      </c>
      <c r="F8" s="5">
        <v>1.3888888888888888E-2</v>
      </c>
    </row>
    <row r="9" spans="1:26" x14ac:dyDescent="0.2">
      <c r="A9">
        <v>43</v>
      </c>
      <c r="B9">
        <v>3</v>
      </c>
      <c r="C9" s="43">
        <v>10</v>
      </c>
      <c r="D9" s="7" t="s">
        <v>48</v>
      </c>
      <c r="E9" s="42" t="s">
        <v>63</v>
      </c>
      <c r="I9" s="9">
        <v>40840.559733217589</v>
      </c>
    </row>
    <row r="10" spans="1:26" x14ac:dyDescent="0.2">
      <c r="A10">
        <v>43</v>
      </c>
      <c r="B10">
        <v>3</v>
      </c>
      <c r="C10" s="43">
        <v>20</v>
      </c>
      <c r="D10" s="7" t="s">
        <v>43</v>
      </c>
      <c r="E10" s="7" t="s">
        <v>35</v>
      </c>
    </row>
    <row r="11" spans="1:26" x14ac:dyDescent="0.2">
      <c r="A11">
        <v>43</v>
      </c>
      <c r="B11">
        <v>3</v>
      </c>
      <c r="C11" s="43">
        <v>30</v>
      </c>
      <c r="D11" s="4" t="s">
        <v>43</v>
      </c>
      <c r="E11" s="7" t="s">
        <v>64</v>
      </c>
    </row>
    <row r="12" spans="1:26" x14ac:dyDescent="0.2">
      <c r="A12">
        <v>43</v>
      </c>
      <c r="B12">
        <v>4</v>
      </c>
      <c r="D12" s="7" t="s">
        <v>47</v>
      </c>
      <c r="E12" s="7" t="s">
        <v>37</v>
      </c>
    </row>
    <row r="13" spans="1:26" x14ac:dyDescent="0.2">
      <c r="A13">
        <v>43</v>
      </c>
      <c r="B13">
        <v>4</v>
      </c>
      <c r="D13" s="7" t="s">
        <v>45</v>
      </c>
      <c r="E13" s="7" t="s">
        <v>34</v>
      </c>
    </row>
    <row r="14" spans="1:26" x14ac:dyDescent="0.2">
      <c r="A14">
        <v>43</v>
      </c>
      <c r="B14">
        <v>4</v>
      </c>
      <c r="D14" s="7" t="s">
        <v>40</v>
      </c>
      <c r="E14" s="4" t="s">
        <v>28</v>
      </c>
    </row>
    <row r="15" spans="1:26" x14ac:dyDescent="0.2">
      <c r="A15">
        <v>43</v>
      </c>
      <c r="B15">
        <v>4</v>
      </c>
      <c r="D15" t="s">
        <v>51</v>
      </c>
      <c r="E15" s="7" t="s">
        <v>62</v>
      </c>
    </row>
    <row r="16" spans="1:26" hidden="1" x14ac:dyDescent="0.2">
      <c r="A16">
        <v>43</v>
      </c>
      <c r="B16">
        <v>5</v>
      </c>
      <c r="D16" s="7" t="s">
        <v>44</v>
      </c>
      <c r="E16" s="7" t="s">
        <v>29</v>
      </c>
      <c r="F16"/>
      <c r="H16" s="23"/>
      <c r="I16" s="9"/>
      <c r="J16" s="9"/>
    </row>
    <row r="17" spans="1:10" hidden="1" x14ac:dyDescent="0.2">
      <c r="A17">
        <v>43</v>
      </c>
      <c r="B17">
        <v>5</v>
      </c>
      <c r="D17" t="s">
        <v>49</v>
      </c>
      <c r="E17" s="7" t="s">
        <v>58</v>
      </c>
      <c r="F17"/>
      <c r="H17" s="23"/>
    </row>
    <row r="18" spans="1:10" hidden="1" x14ac:dyDescent="0.2">
      <c r="A18">
        <v>43</v>
      </c>
      <c r="B18">
        <v>5</v>
      </c>
      <c r="D18" t="s">
        <v>50</v>
      </c>
      <c r="E18" s="7" t="s">
        <v>61</v>
      </c>
      <c r="F18"/>
      <c r="H18" s="23"/>
    </row>
    <row r="19" spans="1:10" hidden="1" x14ac:dyDescent="0.2">
      <c r="A19">
        <v>43</v>
      </c>
      <c r="B19">
        <v>6</v>
      </c>
      <c r="D19" s="7" t="s">
        <v>47</v>
      </c>
      <c r="E19" s="7" t="s">
        <v>32</v>
      </c>
      <c r="F19"/>
      <c r="H19" s="23"/>
    </row>
    <row r="20" spans="1:10" hidden="1" x14ac:dyDescent="0.2">
      <c r="A20">
        <v>43</v>
      </c>
      <c r="B20">
        <v>6</v>
      </c>
      <c r="D20" s="7" t="s">
        <v>45</v>
      </c>
      <c r="E20" s="7" t="s">
        <v>46</v>
      </c>
      <c r="F20" s="8"/>
      <c r="H20" s="23"/>
      <c r="I20" s="9"/>
      <c r="J20" s="9"/>
    </row>
    <row r="21" spans="1:10" hidden="1" x14ac:dyDescent="0.2">
      <c r="A21">
        <v>43</v>
      </c>
      <c r="B21">
        <v>6</v>
      </c>
      <c r="D21" t="s">
        <v>49</v>
      </c>
      <c r="E21" s="7" t="s">
        <v>59</v>
      </c>
      <c r="F21"/>
      <c r="H21" s="23"/>
    </row>
    <row r="22" spans="1:10" hidden="1" x14ac:dyDescent="0.2">
      <c r="A22">
        <v>44</v>
      </c>
      <c r="B22">
        <v>2</v>
      </c>
      <c r="D22" t="s">
        <v>48</v>
      </c>
      <c r="E22" s="7" t="s">
        <v>57</v>
      </c>
      <c r="F22"/>
      <c r="H22" s="23"/>
    </row>
    <row r="23" spans="1:10" hidden="1" x14ac:dyDescent="0.2">
      <c r="A23">
        <v>44</v>
      </c>
      <c r="D23" s="40" t="s">
        <v>43</v>
      </c>
      <c r="E23" s="7" t="s">
        <v>39</v>
      </c>
      <c r="F23" s="8"/>
      <c r="H23" s="23"/>
    </row>
    <row r="24" spans="1:10" hidden="1" x14ac:dyDescent="0.2">
      <c r="A24">
        <v>44</v>
      </c>
      <c r="D24" s="7" t="s">
        <v>42</v>
      </c>
      <c r="E24" s="7" t="s">
        <v>41</v>
      </c>
      <c r="F24" s="8"/>
      <c r="H24" s="23"/>
    </row>
    <row r="25" spans="1:10" hidden="1" x14ac:dyDescent="0.2">
      <c r="A25">
        <v>44</v>
      </c>
      <c r="D25" s="7" t="s">
        <v>42</v>
      </c>
      <c r="E25" s="7" t="s">
        <v>36</v>
      </c>
      <c r="F25"/>
      <c r="H25" s="23"/>
    </row>
    <row r="26" spans="1:10" hidden="1" x14ac:dyDescent="0.2">
      <c r="A26">
        <v>44</v>
      </c>
      <c r="D26" s="7" t="s">
        <v>45</v>
      </c>
      <c r="E26" s="7" t="s">
        <v>30</v>
      </c>
      <c r="F26"/>
      <c r="H26" s="23"/>
    </row>
    <row r="27" spans="1:10" hidden="1" x14ac:dyDescent="0.2">
      <c r="A27">
        <v>44</v>
      </c>
      <c r="D27" s="7" t="s">
        <v>45</v>
      </c>
      <c r="E27" s="7" t="s">
        <v>33</v>
      </c>
      <c r="F27"/>
      <c r="H27" s="23"/>
    </row>
    <row r="28" spans="1:10" hidden="1" x14ac:dyDescent="0.2">
      <c r="A28">
        <v>45</v>
      </c>
      <c r="D28" s="7" t="s">
        <v>47</v>
      </c>
      <c r="E28" s="7" t="s">
        <v>31</v>
      </c>
      <c r="F28"/>
      <c r="H28" s="23"/>
    </row>
    <row r="29" spans="1:10" hidden="1" x14ac:dyDescent="0.2">
      <c r="A29">
        <v>45</v>
      </c>
      <c r="D29" s="7" t="s">
        <v>45</v>
      </c>
      <c r="E29" s="7" t="s">
        <v>38</v>
      </c>
      <c r="F29"/>
      <c r="H29" s="23"/>
    </row>
    <row r="30" spans="1:10" hidden="1" x14ac:dyDescent="0.2">
      <c r="D30" t="s">
        <v>49</v>
      </c>
      <c r="E30" s="7" t="s">
        <v>60</v>
      </c>
      <c r="F30"/>
      <c r="H30" s="23"/>
    </row>
    <row r="31" spans="1:10" x14ac:dyDescent="0.2">
      <c r="D31" s="4" t="s">
        <v>42</v>
      </c>
      <c r="E31" s="40" t="s">
        <v>65</v>
      </c>
    </row>
    <row r="32" spans="1:10" x14ac:dyDescent="0.2">
      <c r="E32" s="40" t="s">
        <v>66</v>
      </c>
    </row>
  </sheetData>
  <autoFilter ref="A3:J30">
    <filterColumn colId="1">
      <filters>
        <filter val="3"/>
        <filter val="4"/>
      </filters>
    </filterColumn>
    <filterColumn colId="6">
      <filters blank="1"/>
    </filterColumn>
  </autoFilter>
  <phoneticPr fontId="2" type="noConversion"/>
  <conditionalFormatting sqref="B1 A2:B2 B4:B65536">
    <cfRule type="cellIs" dxfId="11" priority="10" stopIfTrue="1" operator="equal">
      <formula>2</formula>
    </cfRule>
    <cfRule type="cellIs" dxfId="10" priority="11" stopIfTrue="1" operator="equal">
      <formula>4</formula>
    </cfRule>
    <cfRule type="cellIs" dxfId="9" priority="12" stopIfTrue="1" operator="greaterThan">
      <formula>5</formula>
    </cfRule>
  </conditionalFormatting>
  <conditionalFormatting sqref="G1:G2 G4:G65536">
    <cfRule type="cellIs" dxfId="8" priority="1" stopIfTrue="1" operator="equal">
      <formula>2</formula>
    </cfRule>
    <cfRule type="cellIs" dxfId="7" priority="2" stopIfTrue="1" operator="equal">
      <formula>4</formula>
    </cfRule>
    <cfRule type="cellIs" dxfId="6" priority="3" stopIfTrue="1" operator="greaterThan">
      <formula>5</formula>
    </cfRule>
  </conditionalFormatting>
  <dataValidations count="2">
    <dataValidation type="time" allowBlank="1" showInputMessage="1" showErrorMessage="1" sqref="F2 H6:H8 F4:F18 F23:F65536">
      <formula1>0</formula1>
      <formula2>0.375</formula2>
    </dataValidation>
    <dataValidation type="list" errorStyle="warning" allowBlank="1" showErrorMessage="1" errorTitle="El nombre no está en la lista" error="Los nombre de proyectos se encuentran en la pestaña &quot;Proyectos&quot;" sqref="D4:D18 D23:D65536">
      <formula1>projectNames</formula1>
    </dataValidation>
  </dataValidations>
  <printOptions headings="1"/>
  <pageMargins left="0.35433070866141736" right="0.24" top="0.52" bottom="0.18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295" r:id="rId4" name="W">
          <controlPr defaultSize="0" autoLine="0" r:id="rId5">
            <anchor moveWithCells="1">
              <from>
                <xdr:col>4</xdr:col>
                <xdr:colOff>1000125</xdr:colOff>
                <xdr:row>0</xdr:row>
                <xdr:rowOff>19050</xdr:rowOff>
              </from>
              <to>
                <xdr:col>4</xdr:col>
                <xdr:colOff>1257300</xdr:colOff>
                <xdr:row>1</xdr:row>
                <xdr:rowOff>85725</xdr:rowOff>
              </to>
            </anchor>
          </controlPr>
        </control>
      </mc:Choice>
      <mc:Fallback>
        <control shapeId="24295" r:id="rId4" name="W"/>
      </mc:Fallback>
    </mc:AlternateContent>
    <mc:AlternateContent xmlns:mc="http://schemas.openxmlformats.org/markup-compatibility/2006">
      <mc:Choice Requires="x14">
        <control shapeId="24340" r:id="rId6" name="AF">
          <controlPr defaultSize="0" autoLine="0" r:id="rId7">
            <anchor moveWithCells="1">
              <from>
                <xdr:col>4</xdr:col>
                <xdr:colOff>1304925</xdr:colOff>
                <xdr:row>0</xdr:row>
                <xdr:rowOff>19050</xdr:rowOff>
              </from>
              <to>
                <xdr:col>4</xdr:col>
                <xdr:colOff>1562100</xdr:colOff>
                <xdr:row>1</xdr:row>
                <xdr:rowOff>85725</xdr:rowOff>
              </to>
            </anchor>
          </controlPr>
        </control>
      </mc:Choice>
      <mc:Fallback>
        <control shapeId="24340" r:id="rId6" name="AF"/>
      </mc:Fallback>
    </mc:AlternateContent>
    <mc:AlternateContent xmlns:mc="http://schemas.openxmlformats.org/markup-compatibility/2006">
      <mc:Choice Requires="x14">
        <control shapeId="27680" r:id="rId8" name="IT">
          <controlPr defaultSize="0" autoLine="0" r:id="rId9">
            <anchor moveWithCells="1">
              <from>
                <xdr:col>4</xdr:col>
                <xdr:colOff>1000125</xdr:colOff>
                <xdr:row>1</xdr:row>
                <xdr:rowOff>85725</xdr:rowOff>
              </from>
              <to>
                <xdr:col>4</xdr:col>
                <xdr:colOff>1257300</xdr:colOff>
                <xdr:row>2</xdr:row>
                <xdr:rowOff>142875</xdr:rowOff>
              </to>
            </anchor>
          </controlPr>
        </control>
      </mc:Choice>
      <mc:Fallback>
        <control shapeId="27680" r:id="rId8" name="IT"/>
      </mc:Fallback>
    </mc:AlternateContent>
    <mc:AlternateContent xmlns:mc="http://schemas.openxmlformats.org/markup-compatibility/2006">
      <mc:Choice Requires="x14">
        <control shapeId="27682" r:id="rId10" name="Import">
          <controlPr defaultSize="0" autoLine="0" r:id="rId11">
            <anchor moveWithCells="1">
              <from>
                <xdr:col>4</xdr:col>
                <xdr:colOff>1295400</xdr:colOff>
                <xdr:row>1</xdr:row>
                <xdr:rowOff>85725</xdr:rowOff>
              </from>
              <to>
                <xdr:col>4</xdr:col>
                <xdr:colOff>1562100</xdr:colOff>
                <xdr:row>2</xdr:row>
                <xdr:rowOff>142875</xdr:rowOff>
              </to>
            </anchor>
          </controlPr>
        </control>
      </mc:Choice>
      <mc:Fallback>
        <control shapeId="27682" r:id="rId10" name="Import"/>
      </mc:Fallback>
    </mc:AlternateContent>
    <mc:AlternateContent xmlns:mc="http://schemas.openxmlformats.org/markup-compatibility/2006">
      <mc:Choice Requires="x14">
        <control shapeId="29357" r:id="rId12" name="SortButton">
          <controlPr defaultSize="0" autoLine="0" r:id="rId13">
            <anchor moveWithCells="1">
              <from>
                <xdr:col>4</xdr:col>
                <xdr:colOff>1581150</xdr:colOff>
                <xdr:row>0</xdr:row>
                <xdr:rowOff>19050</xdr:rowOff>
              </from>
              <to>
                <xdr:col>4</xdr:col>
                <xdr:colOff>1905000</xdr:colOff>
                <xdr:row>1</xdr:row>
                <xdr:rowOff>85725</xdr:rowOff>
              </to>
            </anchor>
          </controlPr>
        </control>
      </mc:Choice>
      <mc:Fallback>
        <control shapeId="29357" r:id="rId12" name="Sor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17"/>
  <sheetViews>
    <sheetView workbookViewId="0">
      <pane xSplit="3" ySplit="5" topLeftCell="D6" activePane="bottomRight" state="frozenSplit"/>
      <selection activeCell="A5" sqref="A5"/>
      <selection pane="topRight" activeCell="D1" sqref="D1"/>
      <selection pane="bottomLeft" activeCell="A6" sqref="A6"/>
      <selection pane="bottomRight" activeCell="G9" sqref="G9"/>
    </sheetView>
  </sheetViews>
  <sheetFormatPr defaultRowHeight="12.75" x14ac:dyDescent="0.2"/>
  <cols>
    <col min="1" max="1" width="11.42578125" customWidth="1"/>
    <col min="2" max="2" width="8.140625" bestFit="1" customWidth="1"/>
    <col min="3" max="6" width="8.5703125" bestFit="1" customWidth="1"/>
    <col min="7" max="7" width="10.5703125" bestFit="1" customWidth="1"/>
    <col min="8" max="9" width="8.5703125" bestFit="1" customWidth="1"/>
    <col min="10" max="10" width="10.5703125" bestFit="1" customWidth="1"/>
    <col min="11" max="16" width="8.140625" bestFit="1" customWidth="1"/>
    <col min="17" max="17" width="8.5703125" bestFit="1" customWidth="1"/>
    <col min="18" max="29" width="8.140625" bestFit="1" customWidth="1"/>
    <col min="30" max="30" width="5" bestFit="1" customWidth="1"/>
    <col min="31" max="31" width="7.5703125" bestFit="1" customWidth="1"/>
    <col min="32" max="35" width="8.140625" bestFit="1" customWidth="1"/>
    <col min="36" max="38" width="7.140625" bestFit="1" customWidth="1"/>
    <col min="39" max="39" width="7.5703125" bestFit="1" customWidth="1"/>
    <col min="40" max="41" width="6.5703125" bestFit="1" customWidth="1"/>
    <col min="42" max="42" width="7.5703125" bestFit="1" customWidth="1"/>
    <col min="43" max="44" width="8.140625" bestFit="1" customWidth="1"/>
    <col min="45" max="50" width="7.140625" bestFit="1" customWidth="1"/>
    <col min="51" max="51" width="8.140625" bestFit="1" customWidth="1"/>
    <col min="52" max="56" width="7.140625" bestFit="1" customWidth="1"/>
    <col min="57" max="57" width="8.140625" bestFit="1" customWidth="1"/>
    <col min="58" max="58" width="6.5703125" bestFit="1" customWidth="1"/>
    <col min="59" max="59" width="7.5703125" bestFit="1" customWidth="1"/>
    <col min="60" max="60" width="6.5703125" bestFit="1" customWidth="1"/>
    <col min="61" max="61" width="8.5703125" bestFit="1" customWidth="1"/>
    <col min="62" max="67" width="7.140625" bestFit="1" customWidth="1"/>
    <col min="68" max="68" width="8.140625" bestFit="1" customWidth="1"/>
    <col min="69" max="74" width="7.140625" bestFit="1" customWidth="1"/>
    <col min="75" max="80" width="8.140625" bestFit="1" customWidth="1"/>
    <col min="81" max="82" width="6.5703125" bestFit="1" customWidth="1"/>
    <col min="83" max="83" width="7.5703125" bestFit="1" customWidth="1"/>
    <col min="84" max="90" width="6.5703125" bestFit="1" customWidth="1"/>
    <col min="91" max="91" width="7.5703125" bestFit="1" customWidth="1"/>
    <col min="92" max="94" width="7.140625" bestFit="1" customWidth="1"/>
    <col min="95" max="95" width="8.140625" bestFit="1" customWidth="1"/>
    <col min="96" max="101" width="7.140625" bestFit="1" customWidth="1"/>
    <col min="102" max="102" width="8.140625" bestFit="1" customWidth="1"/>
    <col min="103" max="107" width="7.140625" bestFit="1" customWidth="1"/>
    <col min="108" max="108" width="8.140625" bestFit="1" customWidth="1"/>
    <col min="109" max="113" width="7.140625" bestFit="1" customWidth="1"/>
    <col min="114" max="114" width="8.140625" bestFit="1" customWidth="1"/>
    <col min="115" max="115" width="6.5703125" bestFit="1" customWidth="1"/>
    <col min="116" max="116" width="7.5703125" bestFit="1" customWidth="1"/>
    <col min="117" max="117" width="6" bestFit="1" customWidth="1"/>
    <col min="118" max="118" width="8.5703125" bestFit="1" customWidth="1"/>
    <col min="119" max="119" width="10.5703125" bestFit="1" customWidth="1"/>
  </cols>
  <sheetData>
    <row r="3" spans="1:7" x14ac:dyDescent="0.2">
      <c r="A3" s="39" t="s">
        <v>27</v>
      </c>
      <c r="B3" s="16" t="s">
        <v>23</v>
      </c>
      <c r="C3" s="17" t="s">
        <v>3</v>
      </c>
      <c r="D3" s="14"/>
      <c r="E3" s="14"/>
      <c r="F3" s="14"/>
      <c r="G3" s="15"/>
    </row>
    <row r="4" spans="1:7" x14ac:dyDescent="0.2">
      <c r="A4" s="21"/>
      <c r="B4" s="13">
        <v>43</v>
      </c>
      <c r="C4" s="13">
        <v>44</v>
      </c>
      <c r="D4" s="14"/>
      <c r="E4" s="13">
        <v>45</v>
      </c>
      <c r="F4" s="13" t="s">
        <v>24</v>
      </c>
      <c r="G4" s="18" t="s">
        <v>13</v>
      </c>
    </row>
    <row r="5" spans="1:7" x14ac:dyDescent="0.2">
      <c r="A5" s="16" t="s">
        <v>6</v>
      </c>
      <c r="B5" s="41"/>
      <c r="C5" s="13">
        <v>2</v>
      </c>
      <c r="D5" s="32" t="s">
        <v>24</v>
      </c>
      <c r="E5" s="13" t="s">
        <v>24</v>
      </c>
      <c r="F5" s="13" t="s">
        <v>24</v>
      </c>
      <c r="G5" s="19"/>
    </row>
    <row r="6" spans="1:7" x14ac:dyDescent="0.2">
      <c r="A6" s="13" t="s">
        <v>43</v>
      </c>
      <c r="B6" s="24">
        <v>3.125E-2</v>
      </c>
      <c r="C6" s="24"/>
      <c r="D6" s="33"/>
      <c r="E6" s="24"/>
      <c r="F6" s="24"/>
      <c r="G6" s="25">
        <v>3.125E-2</v>
      </c>
    </row>
    <row r="7" spans="1:7" x14ac:dyDescent="0.2">
      <c r="A7" s="29" t="s">
        <v>50</v>
      </c>
      <c r="B7" s="30"/>
      <c r="C7" s="30"/>
      <c r="D7" s="23"/>
      <c r="E7" s="30"/>
      <c r="F7" s="30"/>
      <c r="G7" s="31"/>
    </row>
    <row r="8" spans="1:7" x14ac:dyDescent="0.2">
      <c r="A8" s="29" t="s">
        <v>42</v>
      </c>
      <c r="B8" s="30">
        <v>1.5856481481481479E-3</v>
      </c>
      <c r="C8" s="30"/>
      <c r="D8" s="23"/>
      <c r="E8" s="30"/>
      <c r="F8" s="30"/>
      <c r="G8" s="31">
        <v>1.5856481481481479E-3</v>
      </c>
    </row>
    <row r="9" spans="1:7" x14ac:dyDescent="0.2">
      <c r="A9" s="29" t="s">
        <v>47</v>
      </c>
      <c r="B9" s="30">
        <v>1.4467592592592594E-3</v>
      </c>
      <c r="C9" s="30"/>
      <c r="D9" s="23"/>
      <c r="E9" s="30"/>
      <c r="F9" s="30"/>
      <c r="G9" s="31">
        <v>1.4467592592592594E-3</v>
      </c>
    </row>
    <row r="10" spans="1:7" x14ac:dyDescent="0.2">
      <c r="A10" s="29" t="s">
        <v>45</v>
      </c>
      <c r="B10" s="30"/>
      <c r="C10" s="30"/>
      <c r="D10" s="23"/>
      <c r="E10" s="30"/>
      <c r="F10" s="30"/>
      <c r="G10" s="31"/>
    </row>
    <row r="11" spans="1:7" x14ac:dyDescent="0.2">
      <c r="A11" s="29" t="s">
        <v>49</v>
      </c>
      <c r="B11" s="30"/>
      <c r="C11" s="30"/>
      <c r="D11" s="23"/>
      <c r="E11" s="30"/>
      <c r="F11" s="30"/>
      <c r="G11" s="31"/>
    </row>
    <row r="12" spans="1:7" x14ac:dyDescent="0.2">
      <c r="A12" s="29" t="s">
        <v>48</v>
      </c>
      <c r="B12" s="30"/>
      <c r="C12" s="30"/>
      <c r="D12" s="23"/>
      <c r="E12" s="30"/>
      <c r="F12" s="30"/>
      <c r="G12" s="31"/>
    </row>
    <row r="13" spans="1:7" x14ac:dyDescent="0.2">
      <c r="A13" s="29" t="s">
        <v>40</v>
      </c>
      <c r="B13" s="30">
        <v>8.3333333333333329E-2</v>
      </c>
      <c r="C13" s="30"/>
      <c r="D13" s="23"/>
      <c r="E13" s="30"/>
      <c r="F13" s="30"/>
      <c r="G13" s="31">
        <v>8.3333333333333329E-2</v>
      </c>
    </row>
    <row r="14" spans="1:7" x14ac:dyDescent="0.2">
      <c r="A14" s="29" t="s">
        <v>44</v>
      </c>
      <c r="B14" s="30"/>
      <c r="C14" s="30"/>
      <c r="D14" s="23"/>
      <c r="E14" s="30"/>
      <c r="F14" s="30"/>
      <c r="G14" s="31"/>
    </row>
    <row r="15" spans="1:7" x14ac:dyDescent="0.2">
      <c r="A15" s="29" t="s">
        <v>51</v>
      </c>
      <c r="B15" s="30"/>
      <c r="C15" s="30"/>
      <c r="D15" s="23"/>
      <c r="E15" s="30"/>
      <c r="F15" s="30"/>
      <c r="G15" s="31"/>
    </row>
    <row r="16" spans="1:7" x14ac:dyDescent="0.2">
      <c r="A16" s="29" t="s">
        <v>24</v>
      </c>
      <c r="B16" s="30"/>
      <c r="C16" s="30"/>
      <c r="D16" s="23"/>
      <c r="E16" s="30"/>
      <c r="F16" s="30"/>
      <c r="G16" s="31"/>
    </row>
    <row r="17" spans="1:7" x14ac:dyDescent="0.2">
      <c r="A17" s="20" t="s">
        <v>13</v>
      </c>
      <c r="B17" s="26">
        <v>0.11761574074074074</v>
      </c>
      <c r="C17" s="26"/>
      <c r="D17" s="34"/>
      <c r="E17" s="26"/>
      <c r="F17" s="26"/>
      <c r="G17" s="27">
        <v>0.11761574074074074</v>
      </c>
    </row>
  </sheetData>
  <phoneticPr fontId="2" type="noConversion"/>
  <pageMargins left="0.75" right="0.75" top="1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A4" sqref="A4"/>
    </sheetView>
  </sheetViews>
  <sheetFormatPr defaultRowHeight="12.75" x14ac:dyDescent="0.2"/>
  <sheetData>
    <row r="1" spans="1:3" x14ac:dyDescent="0.2">
      <c r="A1" s="1" t="s">
        <v>4</v>
      </c>
      <c r="B1" s="1" t="s">
        <v>21</v>
      </c>
      <c r="C1" s="1"/>
    </row>
    <row r="2" spans="1:3" x14ac:dyDescent="0.2">
      <c r="C2" s="10" t="b">
        <f>ISBLANK(Tasks!G4)</f>
        <v>0</v>
      </c>
    </row>
    <row r="3" spans="1:3" x14ac:dyDescent="0.2">
      <c r="A3">
        <f ca="1">Tasks!A1</f>
        <v>47</v>
      </c>
    </row>
  </sheetData>
  <phoneticPr fontId="2" type="noConversion"/>
  <conditionalFormatting sqref="B1:B3">
    <cfRule type="cellIs" dxfId="2" priority="1" stopIfTrue="1" operator="equal">
      <formula>2</formula>
    </cfRule>
    <cfRule type="cellIs" dxfId="1" priority="2" stopIfTrue="1" operator="equal">
      <formula>4</formula>
    </cfRule>
    <cfRule type="cellIs" dxfId="0" priority="3" stopIfTrue="1" operator="greaterThan">
      <formula>5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K8"/>
  <sheetViews>
    <sheetView workbookViewId="0">
      <selection activeCell="K8" sqref="B8:K8"/>
    </sheetView>
  </sheetViews>
  <sheetFormatPr defaultRowHeight="12.75" x14ac:dyDescent="0.2"/>
  <sheetData>
    <row r="6" spans="1:11" x14ac:dyDescent="0.2">
      <c r="A6" t="s">
        <v>1</v>
      </c>
      <c r="B6" s="3" t="s">
        <v>2</v>
      </c>
    </row>
    <row r="7" spans="1:11" x14ac:dyDescent="0.2">
      <c r="A7" t="s">
        <v>2</v>
      </c>
      <c r="B7" t="s">
        <v>4</v>
      </c>
      <c r="C7" t="s">
        <v>21</v>
      </c>
      <c r="D7" s="6" t="s">
        <v>22</v>
      </c>
      <c r="E7" s="6" t="s">
        <v>0</v>
      </c>
      <c r="F7" s="28" t="s">
        <v>8</v>
      </c>
      <c r="G7" s="6" t="s">
        <v>17</v>
      </c>
      <c r="H7" t="s">
        <v>20</v>
      </c>
      <c r="I7" s="11" t="s">
        <v>11</v>
      </c>
      <c r="J7" s="6" t="s">
        <v>14</v>
      </c>
      <c r="K7" s="6" t="s">
        <v>15</v>
      </c>
    </row>
    <row r="8" spans="1:11" x14ac:dyDescent="0.2">
      <c r="A8" t="s">
        <v>25</v>
      </c>
      <c r="B8" t="s">
        <v>23</v>
      </c>
      <c r="C8" t="s">
        <v>3</v>
      </c>
      <c r="D8" t="s">
        <v>5</v>
      </c>
      <c r="E8" t="s">
        <v>6</v>
      </c>
      <c r="F8" t="s">
        <v>7</v>
      </c>
      <c r="G8" t="s">
        <v>9</v>
      </c>
      <c r="H8" t="s">
        <v>10</v>
      </c>
      <c r="I8" t="s">
        <v>16</v>
      </c>
      <c r="J8" t="s">
        <v>12</v>
      </c>
      <c r="K8" s="4" t="s">
        <v>26</v>
      </c>
    </row>
  </sheetData>
  <phoneticPr fontId="2" type="noConversion"/>
  <dataValidations count="2">
    <dataValidation type="list" errorStyle="warning" allowBlank="1" showErrorMessage="1" errorTitle="El nombre no está en la lista" error="Los nombre de proyectos se encuentran en la pestaña &quot;Proyectos&quot;" sqref="E7">
      <formula1>projectNames</formula1>
    </dataValidation>
    <dataValidation type="time" allowBlank="1" showInputMessage="1" showErrorMessage="1" sqref="G7">
      <formula1>0</formula1>
      <formula2>0.375</formula2>
    </dataValidation>
  </dataValidations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C2FDDF0BCA05E45A10EDA517E1FA27C" ma:contentTypeVersion="10" ma:contentTypeDescription="Crear nuevo documento." ma:contentTypeScope="" ma:versionID="79a33042c0dc980b9e1a1d83849412bc">
  <xsd:schema xmlns:xsd="http://www.w3.org/2001/XMLSchema" xmlns:xs="http://www.w3.org/2001/XMLSchema" xmlns:p="http://schemas.microsoft.com/office/2006/metadata/properties" xmlns:ns3="0f406acd-3d66-40da-b6b3-faec2f040df8" xmlns:ns4="6ea36a73-1dad-479c-a87d-1615f22fb79e" targetNamespace="http://schemas.microsoft.com/office/2006/metadata/properties" ma:root="true" ma:fieldsID="0220a266f6aa6cbc32a30c698de79c6e" ns3:_="" ns4:_="">
    <xsd:import namespace="0f406acd-3d66-40da-b6b3-faec2f040df8"/>
    <xsd:import namespace="6ea36a73-1dad-479c-a87d-1615f22fb79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ingHintHash" minOccurs="0"/>
                <xsd:element ref="ns3:SharedWithDetails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406acd-3d66-40da-b6b3-faec2f040df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Hash de la sugerencia para compartir" ma:internalName="SharingHintHash" ma:readOnly="true">
      <xsd:simpleType>
        <xsd:restriction base="dms:Text"/>
      </xsd:simpleType>
    </xsd:element>
    <xsd:element name="SharedWithDetails" ma:index="10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a36a73-1dad-479c-a87d-1615f22fb7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15950A3-BD3D-4D15-A3C1-938E99260E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E78EBC-85E0-48CF-9F5F-53E4079359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406acd-3d66-40da-b6b3-faec2f040df8"/>
    <ds:schemaRef ds:uri="6ea36a73-1dad-479c-a87d-1615f22fb7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609A00-78D2-4CA6-9CAB-0AB8D6EDD70C}">
  <ds:schemaRefs>
    <ds:schemaRef ds:uri="6ea36a73-1dad-479c-a87d-1615f22fb79e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0f406acd-3d66-40da-b6b3-faec2f040df8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Tasks</vt:lpstr>
      <vt:lpstr>Accumulated</vt:lpstr>
      <vt:lpstr>Filters</vt:lpstr>
      <vt:lpstr>Conf</vt:lpstr>
      <vt:lpstr>Tasks!Criteria</vt:lpstr>
    </vt:vector>
  </TitlesOfParts>
  <Company>TECNUN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Serrano</dc:creator>
  <cp:lastModifiedBy>Serrano, Nicolas</cp:lastModifiedBy>
  <cp:lastPrinted>2010-11-29T18:17:55Z</cp:lastPrinted>
  <dcterms:created xsi:type="dcterms:W3CDTF">2006-08-29T07:31:33Z</dcterms:created>
  <dcterms:modified xsi:type="dcterms:W3CDTF">2019-11-18T10:48:25Z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0x0101007C2FDDF0BCA05E45A10EDA517E1FA27C</vt:lpwstr>
  </property>
</Properties>
</file>